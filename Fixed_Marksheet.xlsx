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Yash.G.Chandak\Downloads\"/>
    </mc:Choice>
  </mc:AlternateContent>
  <xr:revisionPtr revIDLastSave="0" documentId="13_ncr:1_{B8D4E89F-9408-44B2-97D0-1280B9061D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rksheet" sheetId="1" r:id="rId1"/>
    <sheet name="Looku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" l="1"/>
  <c r="C4" i="2"/>
  <c r="B4" i="2"/>
  <c r="I21" i="1"/>
  <c r="J21" i="1" s="1"/>
  <c r="K21" i="1" s="1"/>
  <c r="I20" i="1"/>
  <c r="J20" i="1" s="1"/>
  <c r="K20" i="1" s="1"/>
  <c r="I19" i="1"/>
  <c r="J19" i="1" s="1"/>
  <c r="K19" i="1" s="1"/>
  <c r="I18" i="1"/>
  <c r="J18" i="1" s="1"/>
  <c r="K18" i="1" s="1"/>
  <c r="I17" i="1"/>
  <c r="J17" i="1" s="1"/>
  <c r="K17" i="1" s="1"/>
  <c r="I16" i="1"/>
  <c r="J16" i="1" s="1"/>
  <c r="K16" i="1" s="1"/>
  <c r="I15" i="1"/>
  <c r="J15" i="1" s="1"/>
  <c r="K15" i="1" s="1"/>
  <c r="I14" i="1"/>
  <c r="J14" i="1" s="1"/>
  <c r="K14" i="1" s="1"/>
  <c r="I13" i="1"/>
  <c r="J13" i="1" s="1"/>
  <c r="K13" i="1" s="1"/>
  <c r="I12" i="1"/>
  <c r="J12" i="1" s="1"/>
  <c r="K12" i="1" s="1"/>
  <c r="I11" i="1"/>
  <c r="J11" i="1" s="1"/>
  <c r="K11" i="1" s="1"/>
  <c r="I10" i="1"/>
  <c r="J10" i="1" s="1"/>
  <c r="K10" i="1" s="1"/>
  <c r="I9" i="1"/>
  <c r="J9" i="1" s="1"/>
  <c r="K9" i="1" s="1"/>
  <c r="I8" i="1"/>
  <c r="J8" i="1" s="1"/>
  <c r="K8" i="1" s="1"/>
  <c r="I7" i="1"/>
  <c r="J7" i="1" s="1"/>
  <c r="K7" i="1" s="1"/>
  <c r="I6" i="1"/>
  <c r="J6" i="1" s="1"/>
  <c r="K6" i="1" s="1"/>
  <c r="I5" i="1"/>
  <c r="J5" i="1" s="1"/>
  <c r="K5" i="1" s="1"/>
  <c r="I4" i="1"/>
  <c r="J4" i="1" s="1"/>
  <c r="K4" i="1" s="1"/>
  <c r="I3" i="1"/>
  <c r="J3" i="1" s="1"/>
  <c r="K3" i="1" s="1"/>
  <c r="I2" i="1"/>
  <c r="J2" i="1" s="1"/>
  <c r="E4" i="2" l="1"/>
  <c r="K2" i="1"/>
  <c r="F4" i="2" s="1"/>
</calcChain>
</file>

<file path=xl/sharedStrings.xml><?xml version="1.0" encoding="utf-8"?>
<sst xmlns="http://schemas.openxmlformats.org/spreadsheetml/2006/main" count="44" uniqueCount="32">
  <si>
    <t>Roll No</t>
  </si>
  <si>
    <t>Name</t>
  </si>
  <si>
    <t>Maths</t>
  </si>
  <si>
    <t>Science</t>
  </si>
  <si>
    <t>English</t>
  </si>
  <si>
    <t>History</t>
  </si>
  <si>
    <t>Geography</t>
  </si>
  <si>
    <t>Computer</t>
  </si>
  <si>
    <t>Total</t>
  </si>
  <si>
    <t>Percentage</t>
  </si>
  <si>
    <t>Grade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</si>
  <si>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</si>
  <si>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</si>
  <si>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</si>
  <si>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</si>
  <si>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</si>
  <si>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</si>
  <si>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</si>
  <si>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</si>
  <si>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</si>
  <si>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</si>
  <si>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</si>
  <si>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</si>
  <si>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</si>
  <si>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</si>
  <si>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</si>
  <si>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</si>
  <si>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</si>
  <si>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</si>
  <si>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</si>
  <si>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</si>
  <si>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Enter Roll No: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</si>
</sst>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>
        <v>82</v>
      </c>
      <c r="D2">
        <v>100</v>
      </c>
      <c r="E2">
        <v>50</v>
      </c>
      <c r="F2">
        <v>77</v>
      </c>
      <c r="G2">
        <v>46</v>
      </c>
      <c r="H2">
        <v>80</v>
      </c>
      <c r="I2">
        <f t="shared" ref="I2:I21" si="0">SUM(C2:H2)</f>
        <v>435</v>
      </c>
      <c r="J2">
        <f t="shared" ref="J2:J21" si="1">I2/6</f>
        <v>72.5</v>
      </c>
      <c r="K2" t="str">
        <f t="shared" ref="K2:K21" si="2">IF(J2&gt;=90,"A+",IF(J2&gt;=75,"A",IF(J2&gt;=60,"B",IF(J2&gt;=50,"C","D"))))</f>
        <v>B</v>
      </c>
    </row>
    <row r="3" spans="1:11" x14ac:dyDescent="0.3">
      <c r="A3">
        <v>2</v>
      </c>
      <c r="B3" t="s">
        <v>12</v>
      </c>
      <c r="C3">
        <v>73</v>
      </c>
      <c r="D3">
        <v>75</v>
      </c>
      <c r="E3">
        <v>56</v>
      </c>
      <c r="F3">
        <v>50</v>
      </c>
      <c r="G3">
        <v>51</v>
      </c>
      <c r="H3">
        <v>67</v>
      </c>
      <c r="I3">
        <f t="shared" si="0"/>
        <v>372</v>
      </c>
      <c r="J3">
        <f t="shared" si="1"/>
        <v>62</v>
      </c>
      <c r="K3" t="str">
        <f t="shared" si="2"/>
        <v>B</v>
      </c>
    </row>
    <row r="4" spans="1:11" x14ac:dyDescent="0.3">
      <c r="A4">
        <v>3</v>
      </c>
      <c r="B4" t="s">
        <v>13</v>
      </c>
      <c r="C4">
        <v>96</v>
      </c>
      <c r="D4">
        <v>98</v>
      </c>
      <c r="E4">
        <v>46</v>
      </c>
      <c r="F4">
        <v>45</v>
      </c>
      <c r="G4">
        <v>71</v>
      </c>
      <c r="H4">
        <v>70</v>
      </c>
      <c r="I4">
        <f t="shared" si="0"/>
        <v>426</v>
      </c>
      <c r="J4">
        <f t="shared" si="1"/>
        <v>71</v>
      </c>
      <c r="K4" t="str">
        <f t="shared" si="2"/>
        <v>B</v>
      </c>
    </row>
    <row r="5" spans="1:11" x14ac:dyDescent="0.3">
      <c r="A5">
        <v>4</v>
      </c>
      <c r="B5" t="s">
        <v>14</v>
      </c>
      <c r="C5">
        <v>94</v>
      </c>
      <c r="D5">
        <v>89</v>
      </c>
      <c r="E5">
        <v>62</v>
      </c>
      <c r="F5">
        <v>70</v>
      </c>
      <c r="G5">
        <v>41</v>
      </c>
      <c r="H5">
        <v>72</v>
      </c>
      <c r="I5">
        <f t="shared" si="0"/>
        <v>428</v>
      </c>
      <c r="J5">
        <f t="shared" si="1"/>
        <v>71.333333333333329</v>
      </c>
      <c r="K5" t="str">
        <f t="shared" si="2"/>
        <v>B</v>
      </c>
    </row>
    <row r="6" spans="1:11" x14ac:dyDescent="0.3">
      <c r="A6">
        <v>5</v>
      </c>
      <c r="B6" t="s">
        <v>15</v>
      </c>
      <c r="C6">
        <v>67</v>
      </c>
      <c r="D6">
        <v>68</v>
      </c>
      <c r="E6">
        <v>84</v>
      </c>
      <c r="F6">
        <v>84</v>
      </c>
      <c r="G6">
        <v>86</v>
      </c>
      <c r="H6">
        <v>49</v>
      </c>
      <c r="I6">
        <f t="shared" si="0"/>
        <v>438</v>
      </c>
      <c r="J6">
        <f t="shared" si="1"/>
        <v>73</v>
      </c>
      <c r="K6" t="str">
        <f t="shared" si="2"/>
        <v>B</v>
      </c>
    </row>
    <row r="7" spans="1:11" x14ac:dyDescent="0.3">
      <c r="A7">
        <v>6</v>
      </c>
      <c r="B7" t="s">
        <v>16</v>
      </c>
      <c r="C7">
        <v>96</v>
      </c>
      <c r="D7">
        <v>67</v>
      </c>
      <c r="E7">
        <v>63</v>
      </c>
      <c r="F7">
        <v>76</v>
      </c>
      <c r="G7">
        <v>84</v>
      </c>
      <c r="H7">
        <v>90</v>
      </c>
      <c r="I7">
        <f t="shared" si="0"/>
        <v>476</v>
      </c>
      <c r="J7">
        <f t="shared" si="1"/>
        <v>79.333333333333329</v>
      </c>
      <c r="K7" t="str">
        <f t="shared" si="2"/>
        <v>A</v>
      </c>
    </row>
    <row r="8" spans="1:11" x14ac:dyDescent="0.3">
      <c r="A8">
        <v>7</v>
      </c>
      <c r="B8" t="s">
        <v>17</v>
      </c>
      <c r="C8">
        <v>55</v>
      </c>
      <c r="D8">
        <v>43</v>
      </c>
      <c r="E8">
        <v>60</v>
      </c>
      <c r="F8">
        <v>100</v>
      </c>
      <c r="G8">
        <v>60</v>
      </c>
      <c r="H8">
        <v>98</v>
      </c>
      <c r="I8">
        <f t="shared" si="0"/>
        <v>416</v>
      </c>
      <c r="J8">
        <f t="shared" si="1"/>
        <v>69.333333333333329</v>
      </c>
      <c r="K8" t="str">
        <f t="shared" si="2"/>
        <v>B</v>
      </c>
    </row>
    <row r="9" spans="1:11" x14ac:dyDescent="0.3">
      <c r="A9">
        <v>8</v>
      </c>
      <c r="B9" t="s">
        <v>18</v>
      </c>
      <c r="C9">
        <v>44</v>
      </c>
      <c r="D9">
        <v>46</v>
      </c>
      <c r="E9">
        <v>100</v>
      </c>
      <c r="F9">
        <v>64</v>
      </c>
      <c r="G9">
        <v>99</v>
      </c>
      <c r="H9">
        <v>44</v>
      </c>
      <c r="I9">
        <f t="shared" si="0"/>
        <v>397</v>
      </c>
      <c r="J9">
        <f t="shared" si="1"/>
        <v>66.166666666666671</v>
      </c>
      <c r="K9" t="str">
        <f t="shared" si="2"/>
        <v>B</v>
      </c>
    </row>
    <row r="10" spans="1:11" x14ac:dyDescent="0.3">
      <c r="A10">
        <v>9</v>
      </c>
      <c r="B10" t="s">
        <v>19</v>
      </c>
      <c r="C10">
        <v>77</v>
      </c>
      <c r="D10">
        <v>91</v>
      </c>
      <c r="E10">
        <v>57</v>
      </c>
      <c r="F10">
        <v>73</v>
      </c>
      <c r="G10">
        <v>93</v>
      </c>
      <c r="H10">
        <v>95</v>
      </c>
      <c r="I10">
        <f t="shared" si="0"/>
        <v>486</v>
      </c>
      <c r="J10">
        <f t="shared" si="1"/>
        <v>81</v>
      </c>
      <c r="K10" t="str">
        <f t="shared" si="2"/>
        <v>A</v>
      </c>
    </row>
    <row r="11" spans="1:11" x14ac:dyDescent="0.3">
      <c r="A11">
        <v>10</v>
      </c>
      <c r="B11" t="s">
        <v>20</v>
      </c>
      <c r="C11">
        <v>53</v>
      </c>
      <c r="D11">
        <v>88</v>
      </c>
      <c r="E11">
        <v>82</v>
      </c>
      <c r="F11">
        <v>66</v>
      </c>
      <c r="G11">
        <v>91</v>
      </c>
      <c r="H11">
        <v>65</v>
      </c>
      <c r="I11">
        <f t="shared" si="0"/>
        <v>445</v>
      </c>
      <c r="J11">
        <f t="shared" si="1"/>
        <v>74.166666666666671</v>
      </c>
      <c r="K11" t="str">
        <f t="shared" si="2"/>
        <v>B</v>
      </c>
    </row>
    <row r="12" spans="1:11" x14ac:dyDescent="0.3">
      <c r="A12">
        <v>11</v>
      </c>
      <c r="B12" t="s">
        <v>21</v>
      </c>
      <c r="C12">
        <v>98</v>
      </c>
      <c r="D12">
        <v>43</v>
      </c>
      <c r="E12">
        <v>43</v>
      </c>
      <c r="F12">
        <v>65</v>
      </c>
      <c r="G12">
        <v>81</v>
      </c>
      <c r="H12">
        <v>76</v>
      </c>
      <c r="I12">
        <f t="shared" si="0"/>
        <v>406</v>
      </c>
      <c r="J12">
        <f t="shared" si="1"/>
        <v>67.666666666666671</v>
      </c>
      <c r="K12" t="str">
        <f t="shared" si="2"/>
        <v>B</v>
      </c>
    </row>
    <row r="13" spans="1:11" x14ac:dyDescent="0.3">
      <c r="A13">
        <v>12</v>
      </c>
      <c r="B13" t="s">
        <v>22</v>
      </c>
      <c r="C13">
        <v>55</v>
      </c>
      <c r="D13">
        <v>78</v>
      </c>
      <c r="E13">
        <v>60</v>
      </c>
      <c r="F13">
        <v>65</v>
      </c>
      <c r="G13">
        <v>57</v>
      </c>
      <c r="H13">
        <v>95</v>
      </c>
      <c r="I13">
        <f t="shared" si="0"/>
        <v>410</v>
      </c>
      <c r="J13">
        <f t="shared" si="1"/>
        <v>68.333333333333329</v>
      </c>
      <c r="K13" t="str">
        <f t="shared" si="2"/>
        <v>B</v>
      </c>
    </row>
    <row r="14" spans="1:11" x14ac:dyDescent="0.3">
      <c r="A14">
        <v>13</v>
      </c>
      <c r="B14" t="s">
        <v>23</v>
      </c>
      <c r="C14">
        <v>84</v>
      </c>
      <c r="D14">
        <v>96</v>
      </c>
      <c r="E14">
        <v>50</v>
      </c>
      <c r="F14">
        <v>57</v>
      </c>
      <c r="G14">
        <v>76</v>
      </c>
      <c r="H14">
        <v>64</v>
      </c>
      <c r="I14">
        <f t="shared" si="0"/>
        <v>427</v>
      </c>
      <c r="J14">
        <f t="shared" si="1"/>
        <v>71.166666666666671</v>
      </c>
      <c r="K14" t="str">
        <f t="shared" si="2"/>
        <v>B</v>
      </c>
    </row>
    <row r="15" spans="1:11" x14ac:dyDescent="0.3">
      <c r="A15">
        <v>14</v>
      </c>
      <c r="B15" t="s">
        <v>24</v>
      </c>
      <c r="C15">
        <v>88</v>
      </c>
      <c r="D15">
        <v>64</v>
      </c>
      <c r="E15">
        <v>89</v>
      </c>
      <c r="F15">
        <v>81</v>
      </c>
      <c r="G15">
        <v>49</v>
      </c>
      <c r="H15">
        <v>93</v>
      </c>
      <c r="I15">
        <f t="shared" si="0"/>
        <v>464</v>
      </c>
      <c r="J15">
        <f t="shared" si="1"/>
        <v>77.333333333333329</v>
      </c>
      <c r="K15" t="str">
        <f t="shared" si="2"/>
        <v>A</v>
      </c>
    </row>
    <row r="16" spans="1:11" x14ac:dyDescent="0.3">
      <c r="A16">
        <v>15</v>
      </c>
      <c r="B16" t="s">
        <v>25</v>
      </c>
      <c r="C16">
        <v>49</v>
      </c>
      <c r="D16">
        <v>73</v>
      </c>
      <c r="E16">
        <v>72</v>
      </c>
      <c r="F16">
        <v>86</v>
      </c>
      <c r="G16">
        <v>89</v>
      </c>
      <c r="H16">
        <v>66</v>
      </c>
      <c r="I16">
        <f t="shared" si="0"/>
        <v>435</v>
      </c>
      <c r="J16">
        <f t="shared" si="1"/>
        <v>72.5</v>
      </c>
      <c r="K16" t="str">
        <f t="shared" si="2"/>
        <v>B</v>
      </c>
    </row>
    <row r="17" spans="1:11" x14ac:dyDescent="0.3">
      <c r="A17">
        <v>16</v>
      </c>
      <c r="B17" t="s">
        <v>26</v>
      </c>
      <c r="C17">
        <v>49</v>
      </c>
      <c r="D17">
        <v>59</v>
      </c>
      <c r="E17">
        <v>75</v>
      </c>
      <c r="F17">
        <v>77</v>
      </c>
      <c r="G17">
        <v>83</v>
      </c>
      <c r="H17">
        <v>77</v>
      </c>
      <c r="I17">
        <f t="shared" si="0"/>
        <v>420</v>
      </c>
      <c r="J17">
        <f t="shared" si="1"/>
        <v>70</v>
      </c>
      <c r="K17" t="str">
        <f t="shared" si="2"/>
        <v>B</v>
      </c>
    </row>
    <row r="18" spans="1:11" x14ac:dyDescent="0.3">
      <c r="A18">
        <v>17</v>
      </c>
      <c r="B18" t="s">
        <v>27</v>
      </c>
      <c r="C18">
        <v>50</v>
      </c>
      <c r="D18">
        <v>41</v>
      </c>
      <c r="E18">
        <v>66</v>
      </c>
      <c r="F18">
        <v>62</v>
      </c>
      <c r="G18">
        <v>80</v>
      </c>
      <c r="H18">
        <v>51</v>
      </c>
      <c r="I18">
        <f t="shared" si="0"/>
        <v>350</v>
      </c>
      <c r="J18">
        <f t="shared" si="1"/>
        <v>58.333333333333336</v>
      </c>
      <c r="K18" t="str">
        <f t="shared" si="2"/>
        <v>C</v>
      </c>
    </row>
    <row r="19" spans="1:11" x14ac:dyDescent="0.3">
      <c r="A19">
        <v>18</v>
      </c>
      <c r="B19" t="s">
        <v>28</v>
      </c>
      <c r="C19">
        <v>95</v>
      </c>
      <c r="D19">
        <v>69</v>
      </c>
      <c r="E19">
        <v>89</v>
      </c>
      <c r="F19">
        <v>78</v>
      </c>
      <c r="G19">
        <v>55</v>
      </c>
      <c r="H19">
        <v>94</v>
      </c>
      <c r="I19">
        <f t="shared" si="0"/>
        <v>480</v>
      </c>
      <c r="J19">
        <f t="shared" si="1"/>
        <v>80</v>
      </c>
      <c r="K19" t="str">
        <f t="shared" si="2"/>
        <v>A</v>
      </c>
    </row>
    <row r="20" spans="1:11" x14ac:dyDescent="0.3">
      <c r="A20">
        <v>19</v>
      </c>
      <c r="B20" t="s">
        <v>29</v>
      </c>
      <c r="C20">
        <v>72</v>
      </c>
      <c r="D20">
        <v>97</v>
      </c>
      <c r="E20">
        <v>83</v>
      </c>
      <c r="F20">
        <v>75</v>
      </c>
      <c r="G20">
        <v>76</v>
      </c>
      <c r="H20">
        <v>55</v>
      </c>
      <c r="I20">
        <f t="shared" si="0"/>
        <v>458</v>
      </c>
      <c r="J20">
        <f t="shared" si="1"/>
        <v>76.333333333333329</v>
      </c>
      <c r="K20" t="str">
        <f t="shared" si="2"/>
        <v>A</v>
      </c>
    </row>
    <row r="21" spans="1:11" x14ac:dyDescent="0.3">
      <c r="A21">
        <v>20</v>
      </c>
      <c r="B21" t="s">
        <v>30</v>
      </c>
      <c r="C21">
        <v>98</v>
      </c>
      <c r="D21">
        <v>53</v>
      </c>
      <c r="E21">
        <v>90</v>
      </c>
      <c r="F21">
        <v>59</v>
      </c>
      <c r="G21">
        <v>61</v>
      </c>
      <c r="H21">
        <v>84</v>
      </c>
      <c r="I21">
        <f t="shared" si="0"/>
        <v>445</v>
      </c>
      <c r="J21">
        <f t="shared" si="1"/>
        <v>74.166666666666671</v>
      </c>
      <c r="K21" t="str">
        <f t="shared" si="2"/>
        <v>B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>
      <selection activeCell="C6" sqref="C6"/>
    </sheetView>
  </sheetViews>
  <sheetFormatPr defaultRowHeight="14.4" x14ac:dyDescent="0.3"/>
  <sheetData>
    <row r="1" spans="1:6" x14ac:dyDescent="0.3">
      <c r="A1" t="s">
        <v>31</v>
      </c>
      <c r="B1">
        <v>1</v>
      </c>
    </row>
    <row r="2" spans="1:6" x14ac:dyDescent="0.3">
      <c r="A2" t="s">
        <v>0</v>
      </c>
      <c r="B2" t="s">
        <v>1</v>
      </c>
      <c r="C2" t="s">
        <v>2</v>
      </c>
      <c r="D2" t="s">
        <v>8</v>
      </c>
      <c r="E2" t="s">
        <v>9</v>
      </c>
      <c r="F2" t="s">
        <v>10</v>
      </c>
    </row>
    <row r="3" spans="1:6" x14ac:dyDescent="0.3">
      <c r="A3" t="s">
        <v>0</v>
      </c>
      <c r="B3" t="s">
        <v>1</v>
      </c>
      <c r="C3" t="s">
        <v>2</v>
      </c>
      <c r="D3" t="s">
        <v>8</v>
      </c>
      <c r="E3" t="s">
        <v>9</v>
      </c>
      <c r="F3" t="s">
        <v>10</v>
      </c>
    </row>
    <row r="4" spans="1:6" x14ac:dyDescent="0.3">
      <c r="B4" t="str">
        <f>VLOOKUP(B1, Marksheet!A:K, 2, FALSE)</f>
        <v>Student 1</v>
      </c>
      <c r="C4">
        <f>VLOOKUP(B1, Marksheet!A:K, 3, FALSE)</f>
        <v>82</v>
      </c>
      <c r="D4">
        <f>VLOOKUP(B1, Marksheet!A:K, 9, FALSE)</f>
        <v>435</v>
      </c>
      <c r="E4">
        <f>VLOOKUP(B1, Marksheet!A:K, 10, FALSE)</f>
        <v>72.5</v>
      </c>
      <c r="F4" t="str">
        <f>VLOOKUP(B1, Marksheet!A:K, 11, FALSE)</f>
        <v>B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Marksheet</vt:lpstr>
      <vt:lpstr>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yashchandak02@outlook.com</cp:lastModifiedBy>
  <dcterms:created xsi:type="dcterms:W3CDTF">2025-11-16T16:04:57Z</dcterms:created>
  <dcterms:modified xsi:type="dcterms:W3CDTF">2025-11-16T16:07:56Z</dcterms:modified>
</cp:coreProperties>
</file>